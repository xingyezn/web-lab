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cf17b0a1a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概览" sheetId="1" r:id="Ra8cd96172f704a76"/>
    <x:sheet xmlns:r="http://schemas.openxmlformats.org/officeDocument/2006/relationships" name="英语成绩明细" sheetId="2" r:id="Re562a152309d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3"/>
      <x:color rgb="FF172A4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06DB0"/>
      </x:patternFill>
    </x:fill>
  </x:fills>
  <x:borders count="2">
    <x:border>
      <x:left/>
      <x:right/>
      <x:top/>
      <x:bottom/>
      <x:diagonal/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f7f3c26f24e0e" /><Relationship Type="http://schemas.openxmlformats.org/officeDocument/2006/relationships/theme" Target="/xl/theme/theme1.xml" Id="R27f919c2aab849a5" /><Relationship Type="http://schemas.openxmlformats.org/officeDocument/2006/relationships/sharedStrings" Target="/xl/sharedStrings.xml" Id="Rbf265a26e5a544d2" /><Relationship Type="http://schemas.openxmlformats.org/officeDocument/2006/relationships/worksheet" Target="/xl/worksheets/sheet1.xml" Id="Ra8cd96172f704a76" /><Relationship Type="http://schemas.openxmlformats.org/officeDocument/2006/relationships/worksheet" Target="/xl/worksheets/sheet2.xml" Id="Re562a152309d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8" t="str">
        <x:v>五年级英语学情分析</x:v>
      </x:c>
      <x:c r="B1" s="8"/>
      <x:c r="C1" s="8"/>
      <x:c r="D1" s="8"/>
      <x:c r="E1" s="8"/>
      <x:c r="F1" s="8"/>
    </x:row>
    <x:row r="2" ht="28" customHeight="1">
      <x:c r="A2" s="8" t="str">
        <x:v>培训模拟数据 · 总分100 · 及格线60 · 分项须换算得分率</x:v>
      </x:c>
      <x:c r="B2" s="8"/>
      <x:c r="C2" s="8"/>
      <x:c r="D2" s="8"/>
      <x:c r="E2" s="8"/>
      <x:c r="F2" s="8"/>
    </x:row>
    <x:row r="4" ht="25" customHeight="1">
      <x:c r="A4" s="5" t="str">
        <x:v>班级</x:v>
      </x:c>
      <x:c r="B4" s="5" t="str">
        <x:v>测评</x:v>
      </x:c>
      <x:c r="C4" s="5" t="str">
        <x:v>人数</x:v>
      </x:c>
      <x:c r="D4" s="5" t="str">
        <x:v>总分均分</x:v>
      </x:c>
      <x:c r="E4" s="5" t="str">
        <x:v>及格人数</x:v>
      </x:c>
      <x:c r="F4" s="5" t="str">
        <x:v>及格率</x:v>
      </x:c>
    </x:row>
    <x:row r="5" ht="25" customHeight="1">
      <x:c r="A5" s="6" t="str">
        <x:v>五年级1班</x:v>
      </x:c>
      <x:c r="B5" s="6" t="str">
        <x:v>测评1</x:v>
      </x:c>
      <x:c r="C5" s="6" t="n">
        <x:f>COUNTIFS('英语成绩明细'!$A$2:$A$61,A5,'英语成绩明细'!$C$2:$C$61,B5)</x:f>
        <x:v>15</x:v>
      </x:c>
      <x:c r="D5" s="11" t="n">
        <x:f>AVERAGEIFS('英语成绩明细'!$H$2:$H$61,'英语成绩明细'!$A$2:$A$61,A5,'英语成绩明细'!$C$2:$C$61,B5)</x:f>
        <x:v>60.266666666666666</x:v>
      </x:c>
      <x:c r="E5" s="6" t="n">
        <x:f>COUNTIFS('英语成绩明细'!$A$2:$A$61,A5,'英语成绩明细'!$C$2:$C$61,B5,'英语成绩明细'!$H$2:$H$61,"&gt;=60")</x:f>
        <x:v>8</x:v>
      </x:c>
      <x:c r="F5" s="12" t="n">
        <x:f>E5/C5</x:f>
        <x:v>0.5333333333333333</x:v>
      </x:c>
    </x:row>
    <x:row r="6" ht="25" customHeight="1">
      <x:c r="A6" s="6" t="str">
        <x:v>五年级1班</x:v>
      </x:c>
      <x:c r="B6" s="6" t="str">
        <x:v>测评2</x:v>
      </x:c>
      <x:c r="C6" s="6" t="n">
        <x:f>COUNTIFS('英语成绩明细'!$A$2:$A$61,A6,'英语成绩明细'!$C$2:$C$61,B6)</x:f>
        <x:v>15</x:v>
      </x:c>
      <x:c r="D6" s="11" t="n">
        <x:f>AVERAGEIFS('英语成绩明细'!$H$2:$H$61,'英语成绩明细'!$A$2:$A$61,A6,'英语成绩明细'!$C$2:$C$61,B6)</x:f>
        <x:v>67.66666666666667</x:v>
      </x:c>
      <x:c r="E6" s="6" t="n">
        <x:f>COUNTIFS('英语成绩明细'!$A$2:$A$61,A6,'英语成绩明细'!$C$2:$C$61,B6,'英语成绩明细'!$H$2:$H$61,"&gt;=60")</x:f>
        <x:v>9</x:v>
      </x:c>
      <x:c r="F6" s="12" t="n">
        <x:f>E6/C6</x:f>
        <x:v>0.6</x:v>
      </x:c>
    </x:row>
    <x:row r="7" ht="25" customHeight="1">
      <x:c r="A7" s="6" t="str">
        <x:v>五年级2班</x:v>
      </x:c>
      <x:c r="B7" s="6" t="str">
        <x:v>测评1</x:v>
      </x:c>
      <x:c r="C7" s="6" t="n">
        <x:f>COUNTIFS('英语成绩明细'!$A$2:$A$61,A7,'英语成绩明细'!$C$2:$C$61,B7)</x:f>
        <x:v>15</x:v>
      </x:c>
      <x:c r="D7" s="11" t="n">
        <x:f>AVERAGEIFS('英语成绩明细'!$H$2:$H$61,'英语成绩明细'!$A$2:$A$61,A7,'英语成绩明细'!$C$2:$C$61,B7)</x:f>
        <x:v>53.2</x:v>
      </x:c>
      <x:c r="E7" s="6" t="n">
        <x:f>COUNTIFS('英语成绩明细'!$A$2:$A$61,A7,'英语成绩明细'!$C$2:$C$61,B7,'英语成绩明细'!$H$2:$H$61,"&gt;=60")</x:f>
        <x:v>5</x:v>
      </x:c>
      <x:c r="F7" s="12" t="n">
        <x:f>E7/C7</x:f>
        <x:v>0.3333333333333333</x:v>
      </x:c>
    </x:row>
    <x:row r="8" ht="25" customHeight="1">
      <x:c r="A8" s="6" t="str">
        <x:v>五年级2班</x:v>
      </x:c>
      <x:c r="B8" s="6" t="str">
        <x:v>测评2</x:v>
      </x:c>
      <x:c r="C8" s="6" t="n">
        <x:f>COUNTIFS('英语成绩明细'!$A$2:$A$61,A8,'英语成绩明细'!$C$2:$C$61,B8)</x:f>
        <x:v>15</x:v>
      </x:c>
      <x:c r="D8" s="11" t="n">
        <x:f>AVERAGEIFS('英语成绩明细'!$H$2:$H$61,'英语成绩明细'!$A$2:$A$61,A8,'英语成绩明细'!$C$2:$C$61,B8)</x:f>
        <x:v>58.8</x:v>
      </x:c>
      <x:c r="E8" s="6" t="n">
        <x:f>COUNTIFS('英语成绩明细'!$A$2:$A$61,A8,'英语成绩明细'!$C$2:$C$61,B8,'英语成绩明细'!$H$2:$H$61,"&gt;=60")</x:f>
        <x:v>5</x:v>
      </x:c>
      <x:c r="F8" s="12" t="n">
        <x:f>E8/C8</x:f>
        <x:v>0.3333333333333333</x:v>
      </x:c>
    </x:row>
    <x:row r="11" ht="25" customHeight="1">
      <x:c r="A11" s="5" t="str">
        <x:v>测评</x:v>
      </x:c>
      <x:c r="B11" s="5" t="str">
        <x:v>词汇得分率</x:v>
      </x:c>
      <x:c r="C11" s="5" t="str">
        <x:v>句型得分率</x:v>
      </x:c>
      <x:c r="D11" s="5" t="str">
        <x:v>阅读得分率</x:v>
      </x:c>
      <x:c r="E11" s="5" t="str">
        <x:v>书写得分率</x:v>
      </x:c>
    </x:row>
    <x:row r="12" ht="25" customHeight="1">
      <x:c r="A12" s="6" t="str">
        <x:v>测评1</x:v>
      </x:c>
      <x:c r="B12" s="12" t="n">
        <x:f>AVERAGEIF('英语成绩明细'!$C$2:$C$61,A12,'英语成绩明细'!$D$2:$D$61)/20</x:f>
        <x:v>0.5599999999999999</x:v>
      </x:c>
      <x:c r="C12" s="12" t="n">
        <x:f>AVERAGEIF('英语成绩明细'!$C$2:$C$61,A12,'英语成绩明细'!$E$2:$E$61)/20</x:f>
        <x:v>0.5433333333333333</x:v>
      </x:c>
      <x:c r="D12" s="12" t="n">
        <x:f>AVERAGEIF('英语成绩明细'!$C$2:$C$61,A12,'英语成绩明细'!$F$2:$F$61)/40</x:f>
        <x:v>0.5958333333333333</x:v>
      </x:c>
      <x:c r="E12" s="12" t="n">
        <x:f>AVERAGEIF('英语成绩明细'!$C$2:$C$61,A12,'英语成绩明细'!$G$2:$G$61)/20</x:f>
        <x:v>0.5416666666666667</x:v>
      </x:c>
    </x:row>
    <x:row r="13" ht="25" customHeight="1">
      <x:c r="A13" s="6" t="str">
        <x:v>测评2</x:v>
      </x:c>
      <x:c r="B13" s="12" t="n">
        <x:f>AVERAGEIF('英语成绩明细'!$C$2:$C$61,A13,'英语成绩明细'!$D$2:$D$61)/20</x:f>
        <x:v>0.6533333333333333</x:v>
      </x:c>
      <x:c r="C13" s="12" t="n">
        <x:f>AVERAGEIF('英语成绩明细'!$C$2:$C$61,A13,'英语成绩明细'!$E$2:$E$61)/20</x:f>
        <x:v>0.6166666666666667</x:v>
      </x:c>
      <x:c r="D13" s="12" t="n">
        <x:f>AVERAGEIF('英语成绩明细'!$C$2:$C$61,A13,'英语成绩明细'!$F$2:$F$61)/40</x:f>
        <x:v>0.67</x:v>
      </x:c>
      <x:c r="E13" s="12" t="n">
        <x:f>AVERAGEIF('英语成绩明细'!$C$2:$C$61,A13,'英语成绩明细'!$G$2:$G$61)/20</x:f>
        <x:v>0.5516666666666666</x:v>
      </x:c>
    </x:row>
    <x:row r="16" ht="35" customHeight="1">
      <x:c r="A16" s="10" t="str">
        <x:v>解释限制：测评难度未校准，变化仅作描述；分项成绩不能推断具体错题原因。</x:v>
      </x:c>
      <x:c r="B16" s="10"/>
      <x:c r="C16" s="10"/>
      <x:c r="D16" s="10"/>
      <x:c r="E16" s="10"/>
      <x:c r="F16" s="10"/>
    </x:row>
  </x:sheetData>
  <x:mergeCells>
    <x:mergeCell ref="A1:F1"/>
    <x:mergeCell ref="A2:F2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60" hidden="0" customWidth="1"/>
  </x:cols>
  <x:sheetData>
    <x:row r="1" ht="25" customHeight="1">
      <x:c r="A1" s="5" t="str">
        <x:v>班级</x:v>
      </x:c>
      <x:c r="B1" s="5" t="str">
        <x:v>学号</x:v>
      </x:c>
      <x:c r="C1" s="5" t="str">
        <x:v>测评</x:v>
      </x:c>
      <x:c r="D1" s="5" t="str">
        <x:v>词汇20</x:v>
      </x:c>
      <x:c r="E1" s="5" t="str">
        <x:v>句型20</x:v>
      </x:c>
      <x:c r="F1" s="5" t="str">
        <x:v>阅读40</x:v>
      </x:c>
      <x:c r="G1" s="5" t="str">
        <x:v>书写20</x:v>
      </x:c>
      <x:c r="H1" s="5" t="str">
        <x:v>总分100</x:v>
      </x:c>
      <x:c r="J1" s="7" t="str">
        <x:v>数据说明</x:v>
      </x:c>
    </x:row>
    <x:row r="2" ht="25" customHeight="1">
      <x:c r="A2" s="6" t="str">
        <x:v>五年级1班</x:v>
      </x:c>
      <x:c r="B2" s="6" t="str">
        <x:v>101</x:v>
      </x:c>
      <x:c r="C2" s="6" t="str">
        <x:v>测评1</x:v>
      </x:c>
      <x:c r="D2" s="6" t="n">
        <x:v>16</x:v>
      </x:c>
      <x:c r="E2" s="6" t="n">
        <x:v>12</x:v>
      </x:c>
      <x:c r="F2" s="6" t="n">
        <x:v>32</x:v>
      </x:c>
      <x:c r="G2" s="6" t="n">
        <x:v>15</x:v>
      </x:c>
      <x:c r="H2" s="6" t="n">
        <x:f>SUM(D2:G2)</x:f>
        <x:v>75</x:v>
      </x:c>
      <x:c r="J2" s="7" t="str">
        <x:v>培训模拟数据；30名学生、2班、2次测评，共60条记录。</x:v>
      </x:c>
    </x:row>
    <x:row r="3" ht="25" customHeight="1">
      <x:c r="A3" s="6" t="str">
        <x:v>五年级1班</x:v>
      </x:c>
      <x:c r="B3" s="6" t="str">
        <x:v>101</x:v>
      </x:c>
      <x:c r="C3" s="6" t="str">
        <x:v>测评2</x:v>
      </x:c>
      <x:c r="D3" s="6" t="n">
        <x:v>16</x:v>
      </x:c>
      <x:c r="E3" s="6" t="n">
        <x:v>17</x:v>
      </x:c>
      <x:c r="F3" s="6" t="n">
        <x:v>35</x:v>
      </x:c>
      <x:c r="G3" s="6" t="n">
        <x:v>16</x:v>
      </x:c>
      <x:c r="H3" s="6" t="n">
        <x:f>SUM(D3:G3)</x:f>
        <x:v>84</x:v>
      </x:c>
      <x:c r="J3" s="7" t="str">
        <x:v>不含真实学生信息。分项满分分别为20、20、40、20。</x:v>
      </x:c>
    </x:row>
    <x:row r="4" ht="25" customHeight="1">
      <x:c r="A4" s="6" t="str">
        <x:v>五年级1班</x:v>
      </x:c>
      <x:c r="B4" s="6" t="str">
        <x:v>102</x:v>
      </x:c>
      <x:c r="C4" s="6" t="str">
        <x:v>测评1</x:v>
      </x:c>
      <x:c r="D4" s="6" t="n">
        <x:v>11</x:v>
      </x:c>
      <x:c r="E4" s="6" t="n">
        <x:v>13</x:v>
      </x:c>
      <x:c r="F4" s="6" t="n">
        <x:v>22</x:v>
      </x:c>
      <x:c r="G4" s="6" t="n">
        <x:v>10</x:v>
      </x:c>
      <x:c r="H4" s="6" t="n">
        <x:f>SUM(D4:G4)</x:f>
        <x:v>56</x:v>
      </x:c>
    </x:row>
    <x:row r="5" ht="25" customHeight="1">
      <x:c r="A5" s="6" t="str">
        <x:v>五年级1班</x:v>
      </x:c>
      <x:c r="B5" s="6" t="str">
        <x:v>102</x:v>
      </x:c>
      <x:c r="C5" s="6" t="str">
        <x:v>测评2</x:v>
      </x:c>
      <x:c r="D5" s="6" t="n">
        <x:v>17</x:v>
      </x:c>
      <x:c r="E5" s="6" t="n">
        <x:v>12</x:v>
      </x:c>
      <x:c r="F5" s="6" t="n">
        <x:v>25</x:v>
      </x:c>
      <x:c r="G5" s="6" t="n">
        <x:v>14</x:v>
      </x:c>
      <x:c r="H5" s="6" t="n">
        <x:f>SUM(D5:G5)</x:f>
        <x:v>68</x:v>
      </x:c>
    </x:row>
    <x:row r="6" ht="25" customHeight="1">
      <x:c r="A6" s="6" t="str">
        <x:v>五年级1班</x:v>
      </x:c>
      <x:c r="B6" s="6" t="str">
        <x:v>103</x:v>
      </x:c>
      <x:c r="C6" s="6" t="str">
        <x:v>测评1</x:v>
      </x:c>
      <x:c r="D6" s="6" t="n">
        <x:v>11</x:v>
      </x:c>
      <x:c r="E6" s="6" t="n">
        <x:v>11</x:v>
      </x:c>
      <x:c r="F6" s="6" t="n">
        <x:v>26</x:v>
      </x:c>
      <x:c r="G6" s="6" t="n">
        <x:v>16</x:v>
      </x:c>
      <x:c r="H6" s="6" t="n">
        <x:f>SUM(D6:G6)</x:f>
        <x:v>64</x:v>
      </x:c>
    </x:row>
    <x:row r="7" ht="25" customHeight="1">
      <x:c r="A7" s="6" t="str">
        <x:v>五年级1班</x:v>
      </x:c>
      <x:c r="B7" s="6" t="str">
        <x:v>103</x:v>
      </x:c>
      <x:c r="C7" s="6" t="str">
        <x:v>测评2</x:v>
      </x:c>
      <x:c r="D7" s="6" t="n">
        <x:v>18</x:v>
      </x:c>
      <x:c r="E7" s="6" t="n">
        <x:v>16</x:v>
      </x:c>
      <x:c r="F7" s="6" t="n">
        <x:v>36</x:v>
      </x:c>
      <x:c r="G7" s="6" t="n">
        <x:v>12</x:v>
      </x:c>
      <x:c r="H7" s="6" t="n">
        <x:f>SUM(D7:G7)</x:f>
        <x:v>82</x:v>
      </x:c>
    </x:row>
    <x:row r="8" ht="25" customHeight="1">
      <x:c r="A8" s="6" t="str">
        <x:v>五年级1班</x:v>
      </x:c>
      <x:c r="B8" s="6" t="str">
        <x:v>104</x:v>
      </x:c>
      <x:c r="C8" s="6" t="str">
        <x:v>测评1</x:v>
      </x:c>
      <x:c r="D8" s="6" t="n">
        <x:v>8</x:v>
      </x:c>
      <x:c r="E8" s="6" t="n">
        <x:v>7</x:v>
      </x:c>
      <x:c r="F8" s="6" t="n">
        <x:v>24</x:v>
      </x:c>
      <x:c r="G8" s="6" t="n">
        <x:v>6</x:v>
      </x:c>
      <x:c r="H8" s="6" t="n">
        <x:f>SUM(D8:G8)</x:f>
        <x:v>45</x:v>
      </x:c>
    </x:row>
    <x:row r="9" ht="25" customHeight="1">
      <x:c r="A9" s="6" t="str">
        <x:v>五年级1班</x:v>
      </x:c>
      <x:c r="B9" s="6" t="str">
        <x:v>104</x:v>
      </x:c>
      <x:c r="C9" s="6" t="str">
        <x:v>测评2</x:v>
      </x:c>
      <x:c r="D9" s="6" t="n">
        <x:v>8</x:v>
      </x:c>
      <x:c r="E9" s="6" t="n">
        <x:v>8</x:v>
      </x:c>
      <x:c r="F9" s="6" t="n">
        <x:v>27</x:v>
      </x:c>
      <x:c r="G9" s="6" t="n">
        <x:v>9</x:v>
      </x:c>
      <x:c r="H9" s="6" t="n">
        <x:f>SUM(D9:G9)</x:f>
        <x:v>52</x:v>
      </x:c>
    </x:row>
    <x:row r="10" ht="25" customHeight="1">
      <x:c r="A10" s="6" t="str">
        <x:v>五年级1班</x:v>
      </x:c>
      <x:c r="B10" s="6" t="str">
        <x:v>105</x:v>
      </x:c>
      <x:c r="C10" s="6" t="str">
        <x:v>测评1</x:v>
      </x:c>
      <x:c r="D10" s="6" t="n">
        <x:v>9</x:v>
      </x:c>
      <x:c r="E10" s="6" t="n">
        <x:v>6</x:v>
      </x:c>
      <x:c r="F10" s="6" t="n">
        <x:v>23</x:v>
      </x:c>
      <x:c r="G10" s="6" t="n">
        <x:v>10</x:v>
      </x:c>
      <x:c r="H10" s="6" t="n">
        <x:f>SUM(D10:G10)</x:f>
        <x:v>48</x:v>
      </x:c>
    </x:row>
    <x:row r="11" ht="25" customHeight="1">
      <x:c r="A11" s="6" t="str">
        <x:v>五年级1班</x:v>
      </x:c>
      <x:c r="B11" s="6" t="str">
        <x:v>105</x:v>
      </x:c>
      <x:c r="C11" s="6" t="str">
        <x:v>测评2</x:v>
      </x:c>
      <x:c r="D11" s="6" t="n">
        <x:v>10</x:v>
      </x:c>
      <x:c r="E11" s="6" t="n">
        <x:v>12</x:v>
      </x:c>
      <x:c r="F11" s="6" t="n">
        <x:v>24</x:v>
      </x:c>
      <x:c r="G11" s="6" t="n">
        <x:v>7</x:v>
      </x:c>
      <x:c r="H11" s="6" t="n">
        <x:f>SUM(D11:G11)</x:f>
        <x:v>53</x:v>
      </x:c>
    </x:row>
    <x:row r="12" ht="25" customHeight="1">
      <x:c r="A12" s="6" t="str">
        <x:v>五年级1班</x:v>
      </x:c>
      <x:c r="B12" s="6" t="str">
        <x:v>106</x:v>
      </x:c>
      <x:c r="C12" s="6" t="str">
        <x:v>测评1</x:v>
      </x:c>
      <x:c r="D12" s="6" t="n">
        <x:v>7</x:v>
      </x:c>
      <x:c r="E12" s="6" t="n">
        <x:v>10</x:v>
      </x:c>
      <x:c r="F12" s="6" t="n">
        <x:v>26</x:v>
      </x:c>
      <x:c r="G12" s="6" t="n">
        <x:v>9</x:v>
      </x:c>
      <x:c r="H12" s="6" t="n">
        <x:f>SUM(D12:G12)</x:f>
        <x:v>52</x:v>
      </x:c>
    </x:row>
    <x:row r="13" ht="25" customHeight="1">
      <x:c r="A13" s="6" t="str">
        <x:v>五年级1班</x:v>
      </x:c>
      <x:c r="B13" s="6" t="str">
        <x:v>106</x:v>
      </x:c>
      <x:c r="C13" s="6" t="str">
        <x:v>测评2</x:v>
      </x:c>
      <x:c r="D13" s="6" t="n">
        <x:v>8</x:v>
      </x:c>
      <x:c r="E13" s="6" t="n">
        <x:v>9</x:v>
      </x:c>
      <x:c r="F13" s="6" t="n">
        <x:v>25</x:v>
      </x:c>
      <x:c r="G13" s="6" t="n">
        <x:v>8</x:v>
      </x:c>
      <x:c r="H13" s="6" t="n">
        <x:f>SUM(D13:G13)</x:f>
        <x:v>50</x:v>
      </x:c>
    </x:row>
    <x:row r="14" ht="25" customHeight="1">
      <x:c r="A14" s="6" t="str">
        <x:v>五年级1班</x:v>
      </x:c>
      <x:c r="B14" s="6" t="str">
        <x:v>107</x:v>
      </x:c>
      <x:c r="C14" s="6" t="str">
        <x:v>测评1</x:v>
      </x:c>
      <x:c r="D14" s="6" t="n">
        <x:v>16</x:v>
      </x:c>
      <x:c r="E14" s="6" t="n">
        <x:v>11</x:v>
      </x:c>
      <x:c r="F14" s="6" t="n">
        <x:v>34</x:v>
      </x:c>
      <x:c r="G14" s="6" t="n">
        <x:v>13</x:v>
      </x:c>
      <x:c r="H14" s="6" t="n">
        <x:f>SUM(D14:G14)</x:f>
        <x:v>74</x:v>
      </x:c>
    </x:row>
    <x:row r="15" ht="25" customHeight="1">
      <x:c r="A15" s="6" t="str">
        <x:v>五年级1班</x:v>
      </x:c>
      <x:c r="B15" s="6" t="str">
        <x:v>107</x:v>
      </x:c>
      <x:c r="C15" s="6" t="str">
        <x:v>测评2</x:v>
      </x:c>
      <x:c r="D15" s="6" t="n">
        <x:v>15</x:v>
      </x:c>
      <x:c r="E15" s="6" t="n">
        <x:v>15</x:v>
      </x:c>
      <x:c r="F15" s="6" t="n">
        <x:v>34</x:v>
      </x:c>
      <x:c r="G15" s="6" t="n">
        <x:v>11</x:v>
      </x:c>
      <x:c r="H15" s="6" t="n">
        <x:f>SUM(D15:G15)</x:f>
        <x:v>75</x:v>
      </x:c>
    </x:row>
    <x:row r="16" ht="25" customHeight="1">
      <x:c r="A16" s="6" t="str">
        <x:v>五年级1班</x:v>
      </x:c>
      <x:c r="B16" s="6" t="str">
        <x:v>108</x:v>
      </x:c>
      <x:c r="C16" s="6" t="str">
        <x:v>测评1</x:v>
      </x:c>
      <x:c r="D16" s="6" t="n">
        <x:v>9</x:v>
      </x:c>
      <x:c r="E16" s="6" t="n">
        <x:v>10</x:v>
      </x:c>
      <x:c r="F16" s="6" t="n">
        <x:v>24</x:v>
      </x:c>
      <x:c r="G16" s="6" t="n">
        <x:v>11</x:v>
      </x:c>
      <x:c r="H16" s="6" t="n">
        <x:f>SUM(D16:G16)</x:f>
        <x:v>54</x:v>
      </x:c>
    </x:row>
    <x:row r="17" ht="25" customHeight="1">
      <x:c r="A17" s="6" t="str">
        <x:v>五年级1班</x:v>
      </x:c>
      <x:c r="B17" s="6" t="str">
        <x:v>108</x:v>
      </x:c>
      <x:c r="C17" s="6" t="str">
        <x:v>测评2</x:v>
      </x:c>
      <x:c r="D17" s="6" t="n">
        <x:v>14</x:v>
      </x:c>
      <x:c r="E17" s="6" t="n">
        <x:v>8</x:v>
      </x:c>
      <x:c r="F17" s="6" t="n">
        <x:v>28</x:v>
      </x:c>
      <x:c r="G17" s="6" t="n">
        <x:v>7</x:v>
      </x:c>
      <x:c r="H17" s="6" t="n">
        <x:f>SUM(D17:G17)</x:f>
        <x:v>57</x:v>
      </x:c>
    </x:row>
    <x:row r="18" ht="25" customHeight="1">
      <x:c r="A18" s="6" t="str">
        <x:v>五年级1班</x:v>
      </x:c>
      <x:c r="B18" s="6" t="str">
        <x:v>109</x:v>
      </x:c>
      <x:c r="C18" s="6" t="str">
        <x:v>测评1</x:v>
      </x:c>
      <x:c r="D18" s="6" t="n">
        <x:v>13</x:v>
      </x:c>
      <x:c r="E18" s="6" t="n">
        <x:v>11</x:v>
      </x:c>
      <x:c r="F18" s="6" t="n">
        <x:v>29</x:v>
      </x:c>
      <x:c r="G18" s="6" t="n">
        <x:v>12</x:v>
      </x:c>
      <x:c r="H18" s="6" t="n">
        <x:f>SUM(D18:G18)</x:f>
        <x:v>65</x:v>
      </x:c>
    </x:row>
    <x:row r="19" ht="25" customHeight="1">
      <x:c r="A19" s="6" t="str">
        <x:v>五年级1班</x:v>
      </x:c>
      <x:c r="B19" s="6" t="str">
        <x:v>109</x:v>
      </x:c>
      <x:c r="C19" s="6" t="str">
        <x:v>测评2</x:v>
      </x:c>
      <x:c r="D19" s="6" t="n">
        <x:v>12</x:v>
      </x:c>
      <x:c r="E19" s="6" t="n">
        <x:v>14</x:v>
      </x:c>
      <x:c r="F19" s="6" t="n">
        <x:v>25</x:v>
      </x:c>
      <x:c r="G19" s="6" t="n">
        <x:v>14</x:v>
      </x:c>
      <x:c r="H19" s="6" t="n">
        <x:f>SUM(D19:G19)</x:f>
        <x:v>65</x:v>
      </x:c>
    </x:row>
    <x:row r="20" ht="25" customHeight="1">
      <x:c r="A20" s="6" t="str">
        <x:v>五年级1班</x:v>
      </x:c>
      <x:c r="B20" s="6" t="str">
        <x:v>110</x:v>
      </x:c>
      <x:c r="C20" s="6" t="str">
        <x:v>测评1</x:v>
      </x:c>
      <x:c r="D20" s="6" t="n">
        <x:v>7</x:v>
      </x:c>
      <x:c r="E20" s="6" t="n">
        <x:v>10</x:v>
      </x:c>
      <x:c r="F20" s="6" t="n">
        <x:v>18</x:v>
      </x:c>
      <x:c r="G20" s="6" t="n">
        <x:v>6</x:v>
      </x:c>
      <x:c r="H20" s="6" t="n">
        <x:f>SUM(D20:G20)</x:f>
        <x:v>41</x:v>
      </x:c>
    </x:row>
    <x:row r="21" ht="25" customHeight="1">
      <x:c r="A21" s="6" t="str">
        <x:v>五年级1班</x:v>
      </x:c>
      <x:c r="B21" s="6" t="str">
        <x:v>110</x:v>
      </x:c>
      <x:c r="C21" s="6" t="str">
        <x:v>测评2</x:v>
      </x:c>
      <x:c r="D21" s="6" t="n">
        <x:v>12</x:v>
      </x:c>
      <x:c r="E21" s="6" t="n">
        <x:v>13</x:v>
      </x:c>
      <x:c r="F21" s="6" t="n">
        <x:v>27</x:v>
      </x:c>
      <x:c r="G21" s="6" t="n">
        <x:v>7</x:v>
      </x:c>
      <x:c r="H21" s="6" t="n">
        <x:f>SUM(D21:G21)</x:f>
        <x:v>59</x:v>
      </x:c>
    </x:row>
    <x:row r="22" ht="25" customHeight="1">
      <x:c r="A22" s="6" t="str">
        <x:v>五年级1班</x:v>
      </x:c>
      <x:c r="B22" s="6" t="str">
        <x:v>111</x:v>
      </x:c>
      <x:c r="C22" s="6" t="str">
        <x:v>测评1</x:v>
      </x:c>
      <x:c r="D22" s="6" t="n">
        <x:v>14</x:v>
      </x:c>
      <x:c r="E22" s="6" t="n">
        <x:v>16</x:v>
      </x:c>
      <x:c r="F22" s="6" t="n">
        <x:v>36</x:v>
      </x:c>
      <x:c r="G22" s="6" t="n">
        <x:v>13</x:v>
      </x:c>
      <x:c r="H22" s="6" t="n">
        <x:f>SUM(D22:G22)</x:f>
        <x:v>79</x:v>
      </x:c>
    </x:row>
    <x:row r="23" ht="25" customHeight="1">
      <x:c r="A23" s="6" t="str">
        <x:v>五年级1班</x:v>
      </x:c>
      <x:c r="B23" s="6" t="str">
        <x:v>111</x:v>
      </x:c>
      <x:c r="C23" s="6" t="str">
        <x:v>测评2</x:v>
      </x:c>
      <x:c r="D23" s="6" t="n">
        <x:v>15</x:v>
      </x:c>
      <x:c r="E23" s="6" t="n">
        <x:v>14</x:v>
      </x:c>
      <x:c r="F23" s="6" t="n">
        <x:v>28</x:v>
      </x:c>
      <x:c r="G23" s="6" t="n">
        <x:v>17</x:v>
      </x:c>
      <x:c r="H23" s="6" t="n">
        <x:f>SUM(D23:G23)</x:f>
        <x:v>74</x:v>
      </x:c>
    </x:row>
    <x:row r="24" ht="25" customHeight="1">
      <x:c r="A24" s="6" t="str">
        <x:v>五年级1班</x:v>
      </x:c>
      <x:c r="B24" s="6" t="str">
        <x:v>112</x:v>
      </x:c>
      <x:c r="C24" s="6" t="str">
        <x:v>测评1</x:v>
      </x:c>
      <x:c r="D24" s="6" t="n">
        <x:v>13</x:v>
      </x:c>
      <x:c r="E24" s="6" t="n">
        <x:v>13</x:v>
      </x:c>
      <x:c r="F24" s="6" t="n">
        <x:v>26</x:v>
      </x:c>
      <x:c r="G24" s="6" t="n">
        <x:v>12</x:v>
      </x:c>
      <x:c r="H24" s="6" t="n">
        <x:f>SUM(D24:G24)</x:f>
        <x:v>64</x:v>
      </x:c>
    </x:row>
    <x:row r="25" ht="25" customHeight="1">
      <x:c r="A25" s="6" t="str">
        <x:v>五年级1班</x:v>
      </x:c>
      <x:c r="B25" s="6" t="str">
        <x:v>112</x:v>
      </x:c>
      <x:c r="C25" s="6" t="str">
        <x:v>测评2</x:v>
      </x:c>
      <x:c r="D25" s="6" t="n">
        <x:v>18</x:v>
      </x:c>
      <x:c r="E25" s="6" t="n">
        <x:v>20</x:v>
      </x:c>
      <x:c r="F25" s="6" t="n">
        <x:v>34</x:v>
      </x:c>
      <x:c r="G25" s="6" t="n">
        <x:v>14</x:v>
      </x:c>
      <x:c r="H25" s="6" t="n">
        <x:f>SUM(D25:G25)</x:f>
        <x:v>86</x:v>
      </x:c>
    </x:row>
    <x:row r="26" ht="25" customHeight="1">
      <x:c r="A26" s="6" t="str">
        <x:v>五年级1班</x:v>
      </x:c>
      <x:c r="B26" s="6" t="str">
        <x:v>113</x:v>
      </x:c>
      <x:c r="C26" s="6" t="str">
        <x:v>测评1</x:v>
      </x:c>
      <x:c r="D26" s="6" t="n">
        <x:v>11</x:v>
      </x:c>
      <x:c r="E26" s="6" t="n">
        <x:v>10</x:v>
      </x:c>
      <x:c r="F26" s="6" t="n">
        <x:v>20</x:v>
      </x:c>
      <x:c r="G26" s="6" t="n">
        <x:v>12</x:v>
      </x:c>
      <x:c r="H26" s="6" t="n">
        <x:f>SUM(D26:G26)</x:f>
        <x:v>53</x:v>
      </x:c>
    </x:row>
    <x:row r="27" ht="25" customHeight="1">
      <x:c r="A27" s="6" t="str">
        <x:v>五年级1班</x:v>
      </x:c>
      <x:c r="B27" s="6" t="str">
        <x:v>113</x:v>
      </x:c>
      <x:c r="C27" s="6" t="str">
        <x:v>测评2</x:v>
      </x:c>
      <x:c r="D27" s="6" t="n">
        <x:v>14</x:v>
      </x:c>
      <x:c r="E27" s="6" t="n">
        <x:v>11</x:v>
      </x:c>
      <x:c r="F27" s="6" t="n">
        <x:v>23</x:v>
      </x:c>
      <x:c r="G27" s="6" t="n">
        <x:v>11</x:v>
      </x:c>
      <x:c r="H27" s="6" t="n">
        <x:f>SUM(D27:G27)</x:f>
        <x:v>59</x:v>
      </x:c>
    </x:row>
    <x:row r="28" ht="25" customHeight="1">
      <x:c r="A28" s="6" t="str">
        <x:v>五年级1班</x:v>
      </x:c>
      <x:c r="B28" s="6" t="str">
        <x:v>114</x:v>
      </x:c>
      <x:c r="C28" s="6" t="str">
        <x:v>测评1</x:v>
      </x:c>
      <x:c r="D28" s="6" t="n">
        <x:v>15</x:v>
      </x:c>
      <x:c r="E28" s="6" t="n">
        <x:v>19</x:v>
      </x:c>
      <x:c r="F28" s="6" t="n">
        <x:v>26</x:v>
      </x:c>
      <x:c r="G28" s="6" t="n">
        <x:v>13</x:v>
      </x:c>
      <x:c r="H28" s="6" t="n">
        <x:f>SUM(D28:G28)</x:f>
        <x:v>73</x:v>
      </x:c>
    </x:row>
    <x:row r="29" ht="25" customHeight="1">
      <x:c r="A29" s="6" t="str">
        <x:v>五年级1班</x:v>
      </x:c>
      <x:c r="B29" s="6" t="str">
        <x:v>114</x:v>
      </x:c>
      <x:c r="C29" s="6" t="str">
        <x:v>测评2</x:v>
      </x:c>
      <x:c r="D29" s="6" t="n">
        <x:v>17</x:v>
      </x:c>
      <x:c r="E29" s="6" t="n">
        <x:v>17</x:v>
      </x:c>
      <x:c r="F29" s="6" t="n">
        <x:v>40</x:v>
      </x:c>
      <x:c r="G29" s="6" t="n">
        <x:v>15</x:v>
      </x:c>
      <x:c r="H29" s="6" t="n">
        <x:f>SUM(D29:G29)</x:f>
        <x:v>89</x:v>
      </x:c>
    </x:row>
    <x:row r="30" ht="25" customHeight="1">
      <x:c r="A30" s="6" t="str">
        <x:v>五年级1班</x:v>
      </x:c>
      <x:c r="B30" s="6" t="str">
        <x:v>115</x:v>
      </x:c>
      <x:c r="C30" s="6" t="str">
        <x:v>测评1</x:v>
      </x:c>
      <x:c r="D30" s="6" t="n">
        <x:v>10</x:v>
      </x:c>
      <x:c r="E30" s="6" t="n">
        <x:v>13</x:v>
      </x:c>
      <x:c r="F30" s="6" t="n">
        <x:v>25</x:v>
      </x:c>
      <x:c r="G30" s="6" t="n">
        <x:v>13</x:v>
      </x:c>
      <x:c r="H30" s="6" t="n">
        <x:f>SUM(D30:G30)</x:f>
        <x:v>61</x:v>
      </x:c>
    </x:row>
    <x:row r="31" ht="25" customHeight="1">
      <x:c r="A31" s="6" t="str">
        <x:v>五年级1班</x:v>
      </x:c>
      <x:c r="B31" s="6" t="str">
        <x:v>115</x:v>
      </x:c>
      <x:c r="C31" s="6" t="str">
        <x:v>测评2</x:v>
      </x:c>
      <x:c r="D31" s="6" t="n">
        <x:v>15</x:v>
      </x:c>
      <x:c r="E31" s="6" t="n">
        <x:v>11</x:v>
      </x:c>
      <x:c r="F31" s="6" t="n">
        <x:v>24</x:v>
      </x:c>
      <x:c r="G31" s="6" t="n">
        <x:v>12</x:v>
      </x:c>
      <x:c r="H31" s="6" t="n">
        <x:f>SUM(D31:G31)</x:f>
        <x:v>62</x:v>
      </x:c>
    </x:row>
    <x:row r="32" ht="25" customHeight="1">
      <x:c r="A32" s="6" t="str">
        <x:v>五年级2班</x:v>
      </x:c>
      <x:c r="B32" s="6" t="str">
        <x:v>201</x:v>
      </x:c>
      <x:c r="C32" s="6" t="str">
        <x:v>测评1</x:v>
      </x:c>
      <x:c r="D32" s="6" t="n">
        <x:v>11</x:v>
      </x:c>
      <x:c r="E32" s="6" t="n">
        <x:v>12</x:v>
      </x:c>
      <x:c r="F32" s="6" t="n">
        <x:v>25</x:v>
      </x:c>
      <x:c r="G32" s="6" t="n">
        <x:v>9</x:v>
      </x:c>
      <x:c r="H32" s="6" t="n">
        <x:f>SUM(D32:G32)</x:f>
        <x:v>57</x:v>
      </x:c>
    </x:row>
    <x:row r="33" ht="25" customHeight="1">
      <x:c r="A33" s="6" t="str">
        <x:v>五年级2班</x:v>
      </x:c>
      <x:c r="B33" s="6" t="str">
        <x:v>201</x:v>
      </x:c>
      <x:c r="C33" s="6" t="str">
        <x:v>测评2</x:v>
      </x:c>
      <x:c r="D33" s="6" t="n">
        <x:v>12</x:v>
      </x:c>
      <x:c r="E33" s="6" t="n">
        <x:v>16</x:v>
      </x:c>
      <x:c r="F33" s="6" t="n">
        <x:v>32</x:v>
      </x:c>
      <x:c r="G33" s="6" t="n">
        <x:v>15</x:v>
      </x:c>
      <x:c r="H33" s="6" t="n">
        <x:f>SUM(D33:G33)</x:f>
        <x:v>75</x:v>
      </x:c>
    </x:row>
    <x:row r="34" ht="25" customHeight="1">
      <x:c r="A34" s="6" t="str">
        <x:v>五年级2班</x:v>
      </x:c>
      <x:c r="B34" s="6" t="str">
        <x:v>202</x:v>
      </x:c>
      <x:c r="C34" s="6" t="str">
        <x:v>测评1</x:v>
      </x:c>
      <x:c r="D34" s="6" t="n">
        <x:v>13</x:v>
      </x:c>
      <x:c r="E34" s="6" t="n">
        <x:v>8</x:v>
      </x:c>
      <x:c r="F34" s="6" t="n">
        <x:v>30</x:v>
      </x:c>
      <x:c r="G34" s="6" t="n">
        <x:v>12</x:v>
      </x:c>
      <x:c r="H34" s="6" t="n">
        <x:f>SUM(D34:G34)</x:f>
        <x:v>63</x:v>
      </x:c>
    </x:row>
    <x:row r="35" ht="25" customHeight="1">
      <x:c r="A35" s="6" t="str">
        <x:v>五年级2班</x:v>
      </x:c>
      <x:c r="B35" s="6" t="str">
        <x:v>202</x:v>
      </x:c>
      <x:c r="C35" s="6" t="str">
        <x:v>测评2</x:v>
      </x:c>
      <x:c r="D35" s="6" t="n">
        <x:v>16</x:v>
      </x:c>
      <x:c r="E35" s="6" t="n">
        <x:v>12</x:v>
      </x:c>
      <x:c r="F35" s="6" t="n">
        <x:v>32</x:v>
      </x:c>
      <x:c r="G35" s="6" t="n">
        <x:v>14</x:v>
      </x:c>
      <x:c r="H35" s="6" t="n">
        <x:f>SUM(D35:G35)</x:f>
        <x:v>74</x:v>
      </x:c>
    </x:row>
    <x:row r="36" ht="25" customHeight="1">
      <x:c r="A36" s="6" t="str">
        <x:v>五年级2班</x:v>
      </x:c>
      <x:c r="B36" s="6" t="str">
        <x:v>203</x:v>
      </x:c>
      <x:c r="C36" s="6" t="str">
        <x:v>测评1</x:v>
      </x:c>
      <x:c r="D36" s="6" t="n">
        <x:v>8</x:v>
      </x:c>
      <x:c r="E36" s="6" t="n">
        <x:v>11</x:v>
      </x:c>
      <x:c r="F36" s="6" t="n">
        <x:v>16</x:v>
      </x:c>
      <x:c r="G36" s="6" t="n">
        <x:v>11</x:v>
      </x:c>
      <x:c r="H36" s="6" t="n">
        <x:f>SUM(D36:G36)</x:f>
        <x:v>46</x:v>
      </x:c>
    </x:row>
    <x:row r="37" ht="25" customHeight="1">
      <x:c r="A37" s="6" t="str">
        <x:v>五年级2班</x:v>
      </x:c>
      <x:c r="B37" s="6" t="str">
        <x:v>203</x:v>
      </x:c>
      <x:c r="C37" s="6" t="str">
        <x:v>测评2</x:v>
      </x:c>
      <x:c r="D37" s="6" t="n">
        <x:v>9</x:v>
      </x:c>
      <x:c r="E37" s="6" t="n">
        <x:v>12</x:v>
      </x:c>
      <x:c r="F37" s="6" t="n">
        <x:v>27</x:v>
      </x:c>
      <x:c r="G37" s="6" t="n">
        <x:v>8</x:v>
      </x:c>
      <x:c r="H37" s="6" t="n">
        <x:f>SUM(D37:G37)</x:f>
        <x:v>56</x:v>
      </x:c>
    </x:row>
    <x:row r="38" ht="25" customHeight="1">
      <x:c r="A38" s="6" t="str">
        <x:v>五年级2班</x:v>
      </x:c>
      <x:c r="B38" s="6" t="str">
        <x:v>204</x:v>
      </x:c>
      <x:c r="C38" s="6" t="str">
        <x:v>测评1</x:v>
      </x:c>
      <x:c r="D38" s="6" t="n">
        <x:v>12</x:v>
      </x:c>
      <x:c r="E38" s="6" t="n">
        <x:v>11</x:v>
      </x:c>
      <x:c r="F38" s="6" t="n">
        <x:v>21</x:v>
      </x:c>
      <x:c r="G38" s="6" t="n">
        <x:v>11</x:v>
      </x:c>
      <x:c r="H38" s="6" t="n">
        <x:f>SUM(D38:G38)</x:f>
        <x:v>55</x:v>
      </x:c>
    </x:row>
    <x:row r="39" ht="25" customHeight="1">
      <x:c r="A39" s="6" t="str">
        <x:v>五年级2班</x:v>
      </x:c>
      <x:c r="B39" s="6" t="str">
        <x:v>204</x:v>
      </x:c>
      <x:c r="C39" s="6" t="str">
        <x:v>测评2</x:v>
      </x:c>
      <x:c r="D39" s="6" t="n">
        <x:v>13</x:v>
      </x:c>
      <x:c r="E39" s="6" t="n">
        <x:v>12</x:v>
      </x:c>
      <x:c r="F39" s="6" t="n">
        <x:v>23</x:v>
      </x:c>
      <x:c r="G39" s="6" t="n">
        <x:v>9</x:v>
      </x:c>
      <x:c r="H39" s="6" t="n">
        <x:f>SUM(D39:G39)</x:f>
        <x:v>57</x:v>
      </x:c>
    </x:row>
    <x:row r="40" ht="25" customHeight="1">
      <x:c r="A40" s="6" t="str">
        <x:v>五年级2班</x:v>
      </x:c>
      <x:c r="B40" s="6" t="str">
        <x:v>205</x:v>
      </x:c>
      <x:c r="C40" s="6" t="str">
        <x:v>测评1</x:v>
      </x:c>
      <x:c r="D40" s="6" t="n">
        <x:v>14</x:v>
      </x:c>
      <x:c r="E40" s="6" t="n">
        <x:v>13</x:v>
      </x:c>
      <x:c r="F40" s="6" t="n">
        <x:v>25</x:v>
      </x:c>
      <x:c r="G40" s="6" t="n">
        <x:v>11</x:v>
      </x:c>
      <x:c r="H40" s="6" t="n">
        <x:f>SUM(D40:G40)</x:f>
        <x:v>63</x:v>
      </x:c>
    </x:row>
    <x:row r="41" ht="25" customHeight="1">
      <x:c r="A41" s="6" t="str">
        <x:v>五年级2班</x:v>
      </x:c>
      <x:c r="B41" s="6" t="str">
        <x:v>205</x:v>
      </x:c>
      <x:c r="C41" s="6" t="str">
        <x:v>测评2</x:v>
      </x:c>
      <x:c r="D41" s="6" t="n">
        <x:v>17</x:v>
      </x:c>
      <x:c r="E41" s="6" t="n">
        <x:v>12</x:v>
      </x:c>
      <x:c r="F41" s="6" t="n">
        <x:v>22</x:v>
      </x:c>
      <x:c r="G41" s="6" t="n">
        <x:v>12</x:v>
      </x:c>
      <x:c r="H41" s="6" t="n">
        <x:f>SUM(D41:G41)</x:f>
        <x:v>63</x:v>
      </x:c>
    </x:row>
    <x:row r="42" ht="25" customHeight="1">
      <x:c r="A42" s="6" t="str">
        <x:v>五年级2班</x:v>
      </x:c>
      <x:c r="B42" s="6" t="str">
        <x:v>206</x:v>
      </x:c>
      <x:c r="C42" s="6" t="str">
        <x:v>测评1</x:v>
      </x:c>
      <x:c r="D42" s="6" t="n">
        <x:v>9</x:v>
      </x:c>
      <x:c r="E42" s="6" t="n">
        <x:v>10</x:v>
      </x:c>
      <x:c r="F42" s="6" t="n">
        <x:v>13</x:v>
      </x:c>
      <x:c r="G42" s="6" t="n">
        <x:v>7</x:v>
      </x:c>
      <x:c r="H42" s="6" t="n">
        <x:f>SUM(D42:G42)</x:f>
        <x:v>39</x:v>
      </x:c>
    </x:row>
    <x:row r="43" ht="25" customHeight="1">
      <x:c r="A43" s="6" t="str">
        <x:v>五年级2班</x:v>
      </x:c>
      <x:c r="B43" s="6" t="str">
        <x:v>206</x:v>
      </x:c>
      <x:c r="C43" s="6" t="str">
        <x:v>测评2</x:v>
      </x:c>
      <x:c r="D43" s="6" t="n">
        <x:v>11</x:v>
      </x:c>
      <x:c r="E43" s="6" t="n">
        <x:v>10</x:v>
      </x:c>
      <x:c r="F43" s="6" t="n">
        <x:v>21</x:v>
      </x:c>
      <x:c r="G43" s="6" t="n">
        <x:v>6</x:v>
      </x:c>
      <x:c r="H43" s="6" t="n">
        <x:f>SUM(D43:G43)</x:f>
        <x:v>48</x:v>
      </x:c>
    </x:row>
    <x:row r="44" ht="25" customHeight="1">
      <x:c r="A44" s="6" t="str">
        <x:v>五年级2班</x:v>
      </x:c>
      <x:c r="B44" s="6" t="str">
        <x:v>207</x:v>
      </x:c>
      <x:c r="C44" s="6" t="str">
        <x:v>测评1</x:v>
      </x:c>
      <x:c r="D44" s="6" t="n">
        <x:v>7</x:v>
      </x:c>
      <x:c r="E44" s="6" t="n">
        <x:v>10</x:v>
      </x:c>
      <x:c r="F44" s="6" t="n">
        <x:v>11</x:v>
      </x:c>
      <x:c r="G44" s="6" t="n">
        <x:v>4</x:v>
      </x:c>
      <x:c r="H44" s="6" t="n">
        <x:f>SUM(D44:G44)</x:f>
        <x:v>32</x:v>
      </x:c>
    </x:row>
    <x:row r="45" ht="25" customHeight="1">
      <x:c r="A45" s="6" t="str">
        <x:v>五年级2班</x:v>
      </x:c>
      <x:c r="B45" s="6" t="str">
        <x:v>207</x:v>
      </x:c>
      <x:c r="C45" s="6" t="str">
        <x:v>测评2</x:v>
      </x:c>
      <x:c r="D45" s="6" t="n">
        <x:v>6</x:v>
      </x:c>
      <x:c r="E45" s="6" t="n">
        <x:v>8</x:v>
      </x:c>
      <x:c r="F45" s="6" t="n">
        <x:v>13</x:v>
      </x:c>
      <x:c r="G45" s="6" t="n">
        <x:v>5</x:v>
      </x:c>
      <x:c r="H45" s="6" t="n">
        <x:f>SUM(D45:G45)</x:f>
        <x:v>32</x:v>
      </x:c>
    </x:row>
    <x:row r="46" ht="25" customHeight="1">
      <x:c r="A46" s="6" t="str">
        <x:v>五年级2班</x:v>
      </x:c>
      <x:c r="B46" s="6" t="str">
        <x:v>208</x:v>
      </x:c>
      <x:c r="C46" s="6" t="str">
        <x:v>测评1</x:v>
      </x:c>
      <x:c r="D46" s="6" t="n">
        <x:v>11</x:v>
      </x:c>
      <x:c r="E46" s="6" t="n">
        <x:v>8</x:v>
      </x:c>
      <x:c r="F46" s="6" t="n">
        <x:v>15</x:v>
      </x:c>
      <x:c r="G46" s="6" t="n">
        <x:v>10</x:v>
      </x:c>
      <x:c r="H46" s="6" t="n">
        <x:f>SUM(D46:G46)</x:f>
        <x:v>44</x:v>
      </x:c>
    </x:row>
    <x:row r="47" ht="25" customHeight="1">
      <x:c r="A47" s="6" t="str">
        <x:v>五年级2班</x:v>
      </x:c>
      <x:c r="B47" s="6" t="str">
        <x:v>208</x:v>
      </x:c>
      <x:c r="C47" s="6" t="str">
        <x:v>测评2</x:v>
      </x:c>
      <x:c r="D47" s="6" t="n">
        <x:v>14</x:v>
      </x:c>
      <x:c r="E47" s="6" t="n">
        <x:v>12</x:v>
      </x:c>
      <x:c r="F47" s="6" t="n">
        <x:v>22</x:v>
      </x:c>
      <x:c r="G47" s="6" t="n">
        <x:v>10</x:v>
      </x:c>
      <x:c r="H47" s="6" t="n">
        <x:f>SUM(D47:G47)</x:f>
        <x:v>58</x:v>
      </x:c>
    </x:row>
    <x:row r="48" ht="25" customHeight="1">
      <x:c r="A48" s="6" t="str">
        <x:v>五年级2班</x:v>
      </x:c>
      <x:c r="B48" s="6" t="str">
        <x:v>209</x:v>
      </x:c>
      <x:c r="C48" s="6" t="str">
        <x:v>测评1</x:v>
      </x:c>
      <x:c r="D48" s="6" t="n">
        <x:v>12</x:v>
      </x:c>
      <x:c r="E48" s="6" t="n">
        <x:v>6</x:v>
      </x:c>
      <x:c r="F48" s="6" t="n">
        <x:v>25</x:v>
      </x:c>
      <x:c r="G48" s="6" t="n">
        <x:v>8</x:v>
      </x:c>
      <x:c r="H48" s="6" t="n">
        <x:f>SUM(D48:G48)</x:f>
        <x:v>51</x:v>
      </x:c>
    </x:row>
    <x:row r="49" ht="25" customHeight="1">
      <x:c r="A49" s="6" t="str">
        <x:v>五年级2班</x:v>
      </x:c>
      <x:c r="B49" s="6" t="str">
        <x:v>209</x:v>
      </x:c>
      <x:c r="C49" s="6" t="str">
        <x:v>测评2</x:v>
      </x:c>
      <x:c r="D49" s="6" t="n">
        <x:v>11</x:v>
      </x:c>
      <x:c r="E49" s="6" t="n">
        <x:v>11</x:v>
      </x:c>
      <x:c r="F49" s="6" t="n">
        <x:v>16</x:v>
      </x:c>
      <x:c r="G49" s="6" t="n">
        <x:v>8</x:v>
      </x:c>
      <x:c r="H49" s="6" t="n">
        <x:f>SUM(D49:G49)</x:f>
        <x:v>46</x:v>
      </x:c>
    </x:row>
    <x:row r="50" ht="25" customHeight="1">
      <x:c r="A50" s="6" t="str">
        <x:v>五年级2班</x:v>
      </x:c>
      <x:c r="B50" s="6" t="str">
        <x:v>210</x:v>
      </x:c>
      <x:c r="C50" s="6" t="str">
        <x:v>测评1</x:v>
      </x:c>
      <x:c r="D50" s="6" t="n">
        <x:v>15</x:v>
      </x:c>
      <x:c r="E50" s="6" t="n">
        <x:v>14</x:v>
      </x:c>
      <x:c r="F50" s="6" t="n">
        <x:v>26</x:v>
      </x:c>
      <x:c r="G50" s="6" t="n">
        <x:v>14</x:v>
      </x:c>
      <x:c r="H50" s="6" t="n">
        <x:f>SUM(D50:G50)</x:f>
        <x:v>69</x:v>
      </x:c>
    </x:row>
    <x:row r="51" ht="25" customHeight="1">
      <x:c r="A51" s="6" t="str">
        <x:v>五年级2班</x:v>
      </x:c>
      <x:c r="B51" s="6" t="str">
        <x:v>210</x:v>
      </x:c>
      <x:c r="C51" s="6" t="str">
        <x:v>测评2</x:v>
      </x:c>
      <x:c r="D51" s="6" t="n">
        <x:v>16</x:v>
      </x:c>
      <x:c r="E51" s="6" t="n">
        <x:v>16</x:v>
      </x:c>
      <x:c r="F51" s="6" t="n">
        <x:v>35</x:v>
      </x:c>
      <x:c r="G51" s="6" t="n">
        <x:v>16</x:v>
      </x:c>
      <x:c r="H51" s="6" t="n">
        <x:f>SUM(D51:G51)</x:f>
        <x:v>83</x:v>
      </x:c>
    </x:row>
    <x:row r="52" ht="25" customHeight="1">
      <x:c r="A52" s="6" t="str">
        <x:v>五年级2班</x:v>
      </x:c>
      <x:c r="B52" s="6" t="str">
        <x:v>211</x:v>
      </x:c>
      <x:c r="C52" s="6" t="str">
        <x:v>测评1</x:v>
      </x:c>
      <x:c r="D52" s="6" t="n">
        <x:v>10</x:v>
      </x:c>
      <x:c r="E52" s="6" t="n">
        <x:v>11</x:v>
      </x:c>
      <x:c r="F52" s="6" t="n">
        <x:v>28</x:v>
      </x:c>
      <x:c r="G52" s="6" t="n">
        <x:v>12</x:v>
      </x:c>
      <x:c r="H52" s="6" t="n">
        <x:f>SUM(D52:G52)</x:f>
        <x:v>61</x:v>
      </x:c>
    </x:row>
    <x:row r="53" ht="25" customHeight="1">
      <x:c r="A53" s="6" t="str">
        <x:v>五年级2班</x:v>
      </x:c>
      <x:c r="B53" s="6" t="str">
        <x:v>211</x:v>
      </x:c>
      <x:c r="C53" s="6" t="str">
        <x:v>测评2</x:v>
      </x:c>
      <x:c r="D53" s="6" t="n">
        <x:v>13</x:v>
      </x:c>
      <x:c r="E53" s="6" t="n">
        <x:v>12</x:v>
      </x:c>
      <x:c r="F53" s="6" t="n">
        <x:v>32</x:v>
      </x:c>
      <x:c r="G53" s="6" t="n">
        <x:v>13</x:v>
      </x:c>
      <x:c r="H53" s="6" t="n">
        <x:f>SUM(D53:G53)</x:f>
        <x:v>70</x:v>
      </x:c>
    </x:row>
    <x:row r="54" ht="25" customHeight="1">
      <x:c r="A54" s="6" t="str">
        <x:v>五年级2班</x:v>
      </x:c>
      <x:c r="B54" s="6" t="str">
        <x:v>212</x:v>
      </x:c>
      <x:c r="C54" s="6" t="str">
        <x:v>测评1</x:v>
      </x:c>
      <x:c r="D54" s="6" t="n">
        <x:v>13</x:v>
      </x:c>
      <x:c r="E54" s="6" t="n">
        <x:v>13</x:v>
      </x:c>
      <x:c r="F54" s="6" t="n">
        <x:v>21</x:v>
      </x:c>
      <x:c r="G54" s="6" t="n">
        <x:v>10</x:v>
      </x:c>
      <x:c r="H54" s="6" t="n">
        <x:f>SUM(D54:G54)</x:f>
        <x:v>57</x:v>
      </x:c>
    </x:row>
    <x:row r="55" ht="25" customHeight="1">
      <x:c r="A55" s="6" t="str">
        <x:v>五年级2班</x:v>
      </x:c>
      <x:c r="B55" s="6" t="str">
        <x:v>212</x:v>
      </x:c>
      <x:c r="C55" s="6" t="str">
        <x:v>测评2</x:v>
      </x:c>
      <x:c r="D55" s="6" t="n">
        <x:v>13</x:v>
      </x:c>
      <x:c r="E55" s="6" t="n">
        <x:v>10</x:v>
      </x:c>
      <x:c r="F55" s="6" t="n">
        <x:v>20</x:v>
      </x:c>
      <x:c r="G55" s="6" t="n">
        <x:v>13</x:v>
      </x:c>
      <x:c r="H55" s="6" t="n">
        <x:f>SUM(D55:G55)</x:f>
        <x:v>56</x:v>
      </x:c>
    </x:row>
    <x:row r="56" ht="25" customHeight="1">
      <x:c r="A56" s="6" t="str">
        <x:v>五年级2班</x:v>
      </x:c>
      <x:c r="B56" s="6" t="str">
        <x:v>213</x:v>
      </x:c>
      <x:c r="C56" s="6" t="str">
        <x:v>测评1</x:v>
      </x:c>
      <x:c r="D56" s="6" t="n">
        <x:v>12</x:v>
      </x:c>
      <x:c r="E56" s="6" t="n">
        <x:v>13</x:v>
      </x:c>
      <x:c r="F56" s="6" t="n">
        <x:v>26</x:v>
      </x:c>
      <x:c r="G56" s="6" t="n">
        <x:v>14</x:v>
      </x:c>
      <x:c r="H56" s="6" t="n">
        <x:f>SUM(D56:G56)</x:f>
        <x:v>65</x:v>
      </x:c>
    </x:row>
    <x:row r="57" ht="25" customHeight="1">
      <x:c r="A57" s="6" t="str">
        <x:v>五年级2班</x:v>
      </x:c>
      <x:c r="B57" s="6" t="str">
        <x:v>213</x:v>
      </x:c>
      <x:c r="C57" s="6" t="str">
        <x:v>测评2</x:v>
      </x:c>
      <x:c r="D57" s="6" t="n">
        <x:v>11</x:v>
      </x:c>
      <x:c r="E57" s="6" t="n">
        <x:v>11</x:v>
      </x:c>
      <x:c r="F57" s="6" t="n">
        <x:v>24</x:v>
      </x:c>
      <x:c r="G57" s="6" t="n">
        <x:v>9</x:v>
      </x:c>
      <x:c r="H57" s="6" t="n">
        <x:f>SUM(D57:G57)</x:f>
        <x:v>55</x:v>
      </x:c>
    </x:row>
    <x:row r="58" ht="25" customHeight="1">
      <x:c r="A58" s="6" t="str">
        <x:v>五年级2班</x:v>
      </x:c>
      <x:c r="B58" s="6" t="str">
        <x:v>214</x:v>
      </x:c>
      <x:c r="C58" s="6" t="str">
        <x:v>测评1</x:v>
      </x:c>
      <x:c r="D58" s="6" t="n">
        <x:v>12</x:v>
      </x:c>
      <x:c r="E58" s="6" t="n">
        <x:v>6</x:v>
      </x:c>
      <x:c r="F58" s="6" t="n">
        <x:v>20</x:v>
      </x:c>
      <x:c r="G58" s="6" t="n">
        <x:v>10</x:v>
      </x:c>
      <x:c r="H58" s="6" t="n">
        <x:f>SUM(D58:G58)</x:f>
        <x:v>48</x:v>
      </x:c>
    </x:row>
    <x:row r="59" ht="25" customHeight="1">
      <x:c r="A59" s="6" t="str">
        <x:v>五年级2班</x:v>
      </x:c>
      <x:c r="B59" s="6" t="str">
        <x:v>214</x:v>
      </x:c>
      <x:c r="C59" s="6" t="str">
        <x:v>测评2</x:v>
      </x:c>
      <x:c r="D59" s="6" t="n">
        <x:v>10</x:v>
      </x:c>
      <x:c r="E59" s="6" t="n">
        <x:v>12</x:v>
      </x:c>
      <x:c r="F59" s="6" t="n">
        <x:v>24</x:v>
      </x:c>
      <x:c r="G59" s="6" t="n">
        <x:v>13</x:v>
      </x:c>
      <x:c r="H59" s="6" t="n">
        <x:f>SUM(D59:G59)</x:f>
        <x:v>59</x:v>
      </x:c>
    </x:row>
    <x:row r="60" ht="25" customHeight="1">
      <x:c r="A60" s="6" t="str">
        <x:v>五年级2班</x:v>
      </x:c>
      <x:c r="B60" s="6" t="str">
        <x:v>215</x:v>
      </x:c>
      <x:c r="C60" s="6" t="str">
        <x:v>测评1</x:v>
      </x:c>
      <x:c r="D60" s="6" t="n">
        <x:v>7</x:v>
      </x:c>
      <x:c r="E60" s="6" t="n">
        <x:v>8</x:v>
      </x:c>
      <x:c r="F60" s="6" t="n">
        <x:v>22</x:v>
      </x:c>
      <x:c r="G60" s="6" t="n">
        <x:v>11</x:v>
      </x:c>
      <x:c r="H60" s="6" t="n">
        <x:f>SUM(D60:G60)</x:f>
        <x:v>48</x:v>
      </x:c>
    </x:row>
    <x:row r="61" ht="25" customHeight="1">
      <x:c r="A61" s="6" t="str">
        <x:v>五年级2班</x:v>
      </x:c>
      <x:c r="B61" s="6" t="str">
        <x:v>215</x:v>
      </x:c>
      <x:c r="C61" s="6" t="str">
        <x:v>测评2</x:v>
      </x:c>
      <x:c r="D61" s="6" t="n">
        <x:v>11</x:v>
      </x:c>
      <x:c r="E61" s="6" t="n">
        <x:v>7</x:v>
      </x:c>
      <x:c r="F61" s="6" t="n">
        <x:v>26</x:v>
      </x:c>
      <x:c r="G61" s="6" t="n">
        <x:v>6</x:v>
      </x:c>
      <x:c r="H61" s="6" t="n">
        <x:f>SUM(D61:G61)</x:f>
        <x:v>50</x:v>
      </x:c>
    </x:row>
  </x:sheetData>
  <x:pageMargins left="0.7" right="0.7" top="0.75" bottom="0.75" header="0.3" footer="0.3"/>
</x:worksheet>
</file>